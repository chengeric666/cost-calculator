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图灵环流\客户管理\跨境电商-宠物\Gecom\"/>
    </mc:Choice>
  </mc:AlternateContent>
  <xr:revisionPtr revIDLastSave="0" documentId="13_ncr:1_{8BAA138E-AFD4-4C54-A62E-8F1D386C0D3C}" xr6:coauthVersionLast="47" xr6:coauthVersionMax="47" xr10:uidLastSave="{00000000-0000-0000-0000-000000000000}"/>
  <bookViews>
    <workbookView xWindow="-26920" yWindow="1780" windowWidth="21590" windowHeight="136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H20" i="1" s="1"/>
  <c r="F20" i="1"/>
  <c r="I20" i="1" s="1"/>
  <c r="E20" i="1"/>
  <c r="G19" i="1"/>
  <c r="H19" i="1" s="1"/>
  <c r="E19" i="1"/>
  <c r="F19" i="1" s="1"/>
  <c r="I19" i="1" s="1"/>
  <c r="G18" i="1"/>
  <c r="H18" i="1" s="1"/>
  <c r="E18" i="1"/>
  <c r="F18" i="1" s="1"/>
  <c r="I18" i="1" s="1"/>
  <c r="G17" i="1"/>
  <c r="H17" i="1" s="1"/>
  <c r="E17" i="1"/>
  <c r="F17" i="1" s="1"/>
  <c r="I17" i="1" s="1"/>
  <c r="H16" i="1"/>
  <c r="G16" i="1"/>
  <c r="E16" i="1"/>
  <c r="F16" i="1" s="1"/>
  <c r="I16" i="1" s="1"/>
  <c r="G15" i="1"/>
  <c r="H15" i="1" s="1"/>
  <c r="E15" i="1"/>
  <c r="F15" i="1" s="1"/>
  <c r="I15" i="1" s="1"/>
  <c r="G14" i="1"/>
  <c r="H14" i="1" s="1"/>
  <c r="E14" i="1"/>
  <c r="F14" i="1" s="1"/>
  <c r="I14" i="1" s="1"/>
  <c r="G13" i="1"/>
  <c r="H13" i="1" s="1"/>
  <c r="E13" i="1"/>
  <c r="F13" i="1" s="1"/>
  <c r="I13" i="1" s="1"/>
  <c r="G12" i="1"/>
  <c r="H12" i="1" s="1"/>
  <c r="F12" i="1"/>
  <c r="I12" i="1" s="1"/>
  <c r="E12" i="1"/>
  <c r="G11" i="1"/>
  <c r="H11" i="1" s="1"/>
  <c r="E11" i="1"/>
  <c r="F11" i="1" s="1"/>
  <c r="G10" i="1"/>
  <c r="H10" i="1" s="1"/>
  <c r="E10" i="1"/>
  <c r="F10" i="1" s="1"/>
  <c r="I10" i="1" s="1"/>
  <c r="G9" i="1"/>
  <c r="H9" i="1" s="1"/>
  <c r="E9" i="1"/>
  <c r="F9" i="1" s="1"/>
  <c r="I9" i="1" s="1"/>
  <c r="G8" i="1"/>
  <c r="H8" i="1" s="1"/>
  <c r="F8" i="1"/>
  <c r="I8" i="1" s="1"/>
  <c r="E8" i="1"/>
  <c r="G7" i="1"/>
  <c r="H7" i="1" s="1"/>
  <c r="E7" i="1"/>
  <c r="F7" i="1" s="1"/>
  <c r="I7" i="1" s="1"/>
  <c r="G6" i="1"/>
  <c r="H6" i="1" s="1"/>
  <c r="E6" i="1"/>
  <c r="F6" i="1" s="1"/>
  <c r="I6" i="1" s="1"/>
  <c r="G5" i="1"/>
  <c r="H5" i="1" s="1"/>
  <c r="E5" i="1"/>
  <c r="F5" i="1" s="1"/>
  <c r="I5" i="1" s="1"/>
  <c r="G4" i="1"/>
  <c r="H4" i="1" s="1"/>
  <c r="E4" i="1"/>
  <c r="F4" i="1" s="1"/>
  <c r="I4" i="1" s="1"/>
  <c r="G3" i="1"/>
  <c r="H3" i="1" s="1"/>
  <c r="E3" i="1"/>
  <c r="F3" i="1" s="1"/>
  <c r="I3" i="1" s="1"/>
  <c r="H2" i="1"/>
  <c r="G2" i="1"/>
  <c r="E2" i="1"/>
  <c r="F2" i="1" s="1"/>
  <c r="I2" i="1" s="1"/>
  <c r="I11" i="1" l="1"/>
</calcChain>
</file>

<file path=xl/sharedStrings.xml><?xml version="1.0" encoding="utf-8"?>
<sst xmlns="http://schemas.openxmlformats.org/spreadsheetml/2006/main" count="105" uniqueCount="72">
  <si>
    <t>区域</t>
  </si>
  <si>
    <t>国家缩写</t>
    <phoneticPr fontId="1" type="noConversion"/>
  </si>
  <si>
    <t>北美</t>
  </si>
  <si>
    <t>US</t>
    <phoneticPr fontId="1" type="noConversion"/>
  </si>
  <si>
    <t>美国</t>
  </si>
  <si>
    <t>CA</t>
    <phoneticPr fontId="1" type="noConversion"/>
  </si>
  <si>
    <t>加拿大</t>
  </si>
  <si>
    <t>欧洲</t>
  </si>
  <si>
    <t>GE</t>
    <phoneticPr fontId="1" type="noConversion"/>
  </si>
  <si>
    <t>德国</t>
  </si>
  <si>
    <t>GB</t>
    <phoneticPr fontId="1" type="noConversion"/>
  </si>
  <si>
    <t>英国</t>
  </si>
  <si>
    <t>FR</t>
    <phoneticPr fontId="1" type="noConversion"/>
  </si>
  <si>
    <t>法国</t>
  </si>
  <si>
    <t>中东</t>
  </si>
  <si>
    <t>AE</t>
    <phoneticPr fontId="1" type="noConversion"/>
  </si>
  <si>
    <t>阿联酋</t>
  </si>
  <si>
    <t>SA</t>
    <phoneticPr fontId="1" type="noConversion"/>
  </si>
  <si>
    <t>沙特</t>
  </si>
  <si>
    <t>拉美</t>
  </si>
  <si>
    <t>MX</t>
    <phoneticPr fontId="1" type="noConversion"/>
  </si>
  <si>
    <t>墨西哥</t>
  </si>
  <si>
    <t>BR</t>
    <phoneticPr fontId="1" type="noConversion"/>
  </si>
  <si>
    <t>巴西</t>
  </si>
  <si>
    <t>东南亚</t>
  </si>
  <si>
    <t>SG</t>
    <phoneticPr fontId="1" type="noConversion"/>
  </si>
  <si>
    <t>新加坡</t>
  </si>
  <si>
    <t>TH</t>
    <phoneticPr fontId="1" type="noConversion"/>
  </si>
  <si>
    <t>泰国</t>
  </si>
  <si>
    <t>IN</t>
    <phoneticPr fontId="1" type="noConversion"/>
  </si>
  <si>
    <t>印度</t>
  </si>
  <si>
    <t>VN</t>
    <phoneticPr fontId="1" type="noConversion"/>
  </si>
  <si>
    <t>越南</t>
  </si>
  <si>
    <t>ID</t>
    <phoneticPr fontId="1" type="noConversion"/>
  </si>
  <si>
    <t>印度尼西亚</t>
  </si>
  <si>
    <t>MY</t>
    <phoneticPr fontId="1" type="noConversion"/>
  </si>
  <si>
    <t>马来西亚</t>
  </si>
  <si>
    <t>PH</t>
    <phoneticPr fontId="1" type="noConversion"/>
  </si>
  <si>
    <t>菲律宾</t>
  </si>
  <si>
    <t>亚太</t>
  </si>
  <si>
    <t>AU</t>
    <phoneticPr fontId="1" type="noConversion"/>
  </si>
  <si>
    <t>澳大利亚</t>
  </si>
  <si>
    <t>JP</t>
    <phoneticPr fontId="1" type="noConversion"/>
  </si>
  <si>
    <t>日本</t>
  </si>
  <si>
    <t>KR</t>
    <phoneticPr fontId="1" type="noConversion"/>
  </si>
  <si>
    <t>韩国</t>
  </si>
  <si>
    <t>国家</t>
    <phoneticPr fontId="1" type="noConversion"/>
  </si>
  <si>
    <t>预估DDP快递成本 (USD)</t>
    <phoneticPr fontId="1" type="noConversion"/>
  </si>
  <si>
    <t>最低价</t>
    <phoneticPr fontId="1" type="noConversion"/>
  </si>
  <si>
    <t>Min-USD/kg</t>
    <phoneticPr fontId="1" type="noConversion"/>
  </si>
  <si>
    <t>最高价</t>
    <phoneticPr fontId="1" type="noConversion"/>
  </si>
  <si>
    <t>Max-USD/kg</t>
    <phoneticPr fontId="1" type="noConversion"/>
  </si>
  <si>
    <t>预估运输时效 (工作日)</t>
  </si>
  <si>
    <t>$45 - $90</t>
  </si>
  <si>
    <t>5-10天</t>
    <phoneticPr fontId="1" type="noConversion"/>
  </si>
  <si>
    <t>$40 - $65</t>
  </si>
  <si>
    <t>4-8天</t>
    <phoneticPr fontId="1" type="noConversion"/>
  </si>
  <si>
    <t>$40 - $110</t>
  </si>
  <si>
    <t>3-6天</t>
    <phoneticPr fontId="1" type="noConversion"/>
  </si>
  <si>
    <t>$70 - $180</t>
    <phoneticPr fontId="1" type="noConversion"/>
  </si>
  <si>
    <t>7-15天</t>
    <phoneticPr fontId="1" type="noConversion"/>
  </si>
  <si>
    <t>$25 - $50</t>
  </si>
  <si>
    <t>2-5天</t>
    <phoneticPr fontId="1" type="noConversion"/>
  </si>
  <si>
    <t>$30 - $60</t>
  </si>
  <si>
    <t>$35 - $70</t>
  </si>
  <si>
    <t>$25 - $55</t>
  </si>
  <si>
    <t>$30 - $65</t>
  </si>
  <si>
    <t>3-7天</t>
    <phoneticPr fontId="1" type="noConversion"/>
  </si>
  <si>
    <t>$50 - $120</t>
  </si>
  <si>
    <t>$50 - $140</t>
  </si>
  <si>
    <t>$45 - $100</t>
  </si>
  <si>
    <t>M4_头程物流(USD/kg)_空运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</si>
</sst>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1B1C1D"/>
      <name val="微软雅黑"/>
      <family val="2"/>
      <charset val="134"/>
    </font>
    <font>
      <b/>
      <sz val="10"/>
      <color rgb="FF1B1C1D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L3" sqref="L3"/>
    </sheetView>
  </sheetViews>
  <sheetFormatPr defaultRowHeight="13.9" x14ac:dyDescent="0.4"/>
  <cols>
    <col min="3" max="3" width="12.59765625" customWidth="1"/>
    <col min="9" max="9" width="20.6640625" customWidth="1"/>
  </cols>
  <sheetData>
    <row r="1" spans="1:10" ht="41.65" x14ac:dyDescent="0.4">
      <c r="A1" s="1" t="s">
        <v>0</v>
      </c>
      <c r="B1" s="1" t="s">
        <v>1</v>
      </c>
      <c r="C1" s="1" t="s">
        <v>46</v>
      </c>
      <c r="D1" s="1" t="s">
        <v>47</v>
      </c>
      <c r="E1" s="1" t="s">
        <v>48</v>
      </c>
      <c r="F1" s="2" t="s">
        <v>49</v>
      </c>
      <c r="G1" s="2" t="s">
        <v>50</v>
      </c>
      <c r="H1" s="2" t="s">
        <v>51</v>
      </c>
      <c r="I1" s="2" t="s">
        <v>71</v>
      </c>
      <c r="J1" s="2" t="s">
        <v>52</v>
      </c>
    </row>
    <row r="2" spans="1:10" ht="14.65" x14ac:dyDescent="0.4">
      <c r="A2" s="3" t="s">
        <v>2</v>
      </c>
      <c r="B2" s="3" t="s">
        <v>3</v>
      </c>
      <c r="C2" s="4" t="s">
        <v>4</v>
      </c>
      <c r="D2" s="3" t="s">
        <v>53</v>
      </c>
      <c r="E2" s="3" t="str">
        <f>LEFT(D2,3)</f>
        <v>$45</v>
      </c>
      <c r="F2" s="5">
        <f>E2/7</f>
        <v>6.4285714285714288</v>
      </c>
      <c r="G2" s="6" t="str">
        <f>RIGHT(D2,3)</f>
        <v>$90</v>
      </c>
      <c r="H2" s="5">
        <f>G2/7</f>
        <v>12.857142857142858</v>
      </c>
      <c r="I2" s="7">
        <f>AVERAGE(F2,H2)</f>
        <v>9.6428571428571423</v>
      </c>
      <c r="J2" s="6" t="s">
        <v>54</v>
      </c>
    </row>
    <row r="3" spans="1:10" ht="14.65" x14ac:dyDescent="0.4">
      <c r="A3" s="3" t="s">
        <v>2</v>
      </c>
      <c r="B3" s="3" t="s">
        <v>5</v>
      </c>
      <c r="C3" s="4" t="s">
        <v>6</v>
      </c>
      <c r="D3" s="3" t="s">
        <v>53</v>
      </c>
      <c r="E3" s="3" t="str">
        <f t="shared" ref="E3:E20" si="0">LEFT(D3,3)</f>
        <v>$45</v>
      </c>
      <c r="F3" s="5">
        <f t="shared" ref="F3:F20" si="1">E3/7</f>
        <v>6.4285714285714288</v>
      </c>
      <c r="G3" s="6" t="str">
        <f t="shared" ref="G3:G17" si="2">RIGHT(D3,3)</f>
        <v>$90</v>
      </c>
      <c r="H3" s="5">
        <f t="shared" ref="H3:H20" si="3">G3/7</f>
        <v>12.857142857142858</v>
      </c>
      <c r="I3" s="7">
        <f t="shared" ref="I3:I20" si="4">AVERAGE(F3,H3)</f>
        <v>9.6428571428571423</v>
      </c>
      <c r="J3" s="6" t="s">
        <v>54</v>
      </c>
    </row>
    <row r="4" spans="1:10" ht="14.65" x14ac:dyDescent="0.4">
      <c r="A4" s="3" t="s">
        <v>7</v>
      </c>
      <c r="B4" s="3" t="s">
        <v>8</v>
      </c>
      <c r="C4" s="4" t="s">
        <v>9</v>
      </c>
      <c r="D4" s="3" t="s">
        <v>55</v>
      </c>
      <c r="E4" s="3" t="str">
        <f t="shared" si="0"/>
        <v>$40</v>
      </c>
      <c r="F4" s="5">
        <f t="shared" si="1"/>
        <v>5.7142857142857144</v>
      </c>
      <c r="G4" s="6" t="str">
        <f t="shared" si="2"/>
        <v>$65</v>
      </c>
      <c r="H4" s="5">
        <f t="shared" si="3"/>
        <v>9.2857142857142865</v>
      </c>
      <c r="I4" s="7">
        <f t="shared" si="4"/>
        <v>7.5</v>
      </c>
      <c r="J4" s="6" t="s">
        <v>56</v>
      </c>
    </row>
    <row r="5" spans="1:10" ht="14.65" x14ac:dyDescent="0.4">
      <c r="A5" s="3" t="s">
        <v>7</v>
      </c>
      <c r="B5" s="3" t="s">
        <v>10</v>
      </c>
      <c r="C5" s="4" t="s">
        <v>11</v>
      </c>
      <c r="D5" s="3" t="s">
        <v>55</v>
      </c>
      <c r="E5" s="3" t="str">
        <f t="shared" si="0"/>
        <v>$40</v>
      </c>
      <c r="F5" s="5">
        <f t="shared" si="1"/>
        <v>5.7142857142857144</v>
      </c>
      <c r="G5" s="6" t="str">
        <f t="shared" si="2"/>
        <v>$65</v>
      </c>
      <c r="H5" s="5">
        <f t="shared" si="3"/>
        <v>9.2857142857142865</v>
      </c>
      <c r="I5" s="7">
        <f t="shared" si="4"/>
        <v>7.5</v>
      </c>
      <c r="J5" s="6" t="s">
        <v>56</v>
      </c>
    </row>
    <row r="6" spans="1:10" ht="14.65" x14ac:dyDescent="0.4">
      <c r="A6" s="3" t="s">
        <v>7</v>
      </c>
      <c r="B6" s="3" t="s">
        <v>12</v>
      </c>
      <c r="C6" s="4" t="s">
        <v>13</v>
      </c>
      <c r="D6" s="3" t="s">
        <v>55</v>
      </c>
      <c r="E6" s="3" t="str">
        <f t="shared" si="0"/>
        <v>$40</v>
      </c>
      <c r="F6" s="5">
        <f t="shared" si="1"/>
        <v>5.7142857142857144</v>
      </c>
      <c r="G6" s="6" t="str">
        <f t="shared" si="2"/>
        <v>$65</v>
      </c>
      <c r="H6" s="5">
        <f t="shared" si="3"/>
        <v>9.2857142857142865</v>
      </c>
      <c r="I6" s="7">
        <f t="shared" si="4"/>
        <v>7.5</v>
      </c>
      <c r="J6" s="6" t="s">
        <v>56</v>
      </c>
    </row>
    <row r="7" spans="1:10" ht="27.75" x14ac:dyDescent="0.4">
      <c r="A7" s="3" t="s">
        <v>14</v>
      </c>
      <c r="B7" s="3" t="s">
        <v>15</v>
      </c>
      <c r="C7" s="4" t="s">
        <v>16</v>
      </c>
      <c r="D7" s="3" t="s">
        <v>57</v>
      </c>
      <c r="E7" s="3" t="str">
        <f t="shared" si="0"/>
        <v>$40</v>
      </c>
      <c r="F7" s="5">
        <f t="shared" si="1"/>
        <v>5.7142857142857144</v>
      </c>
      <c r="G7" s="6" t="str">
        <f>RIGHT(D7,4)</f>
        <v>$110</v>
      </c>
      <c r="H7" s="5">
        <f t="shared" si="3"/>
        <v>15.714285714285714</v>
      </c>
      <c r="I7" s="7">
        <f t="shared" si="4"/>
        <v>10.714285714285714</v>
      </c>
      <c r="J7" s="6" t="s">
        <v>58</v>
      </c>
    </row>
    <row r="8" spans="1:10" ht="27.75" x14ac:dyDescent="0.4">
      <c r="A8" s="3" t="s">
        <v>14</v>
      </c>
      <c r="B8" s="3" t="s">
        <v>17</v>
      </c>
      <c r="C8" s="4" t="s">
        <v>18</v>
      </c>
      <c r="D8" s="3" t="s">
        <v>57</v>
      </c>
      <c r="E8" s="3" t="str">
        <f t="shared" si="0"/>
        <v>$40</v>
      </c>
      <c r="F8" s="5">
        <f t="shared" si="1"/>
        <v>5.7142857142857144</v>
      </c>
      <c r="G8" s="6" t="str">
        <f t="shared" ref="G8:G10" si="5">RIGHT(D8,4)</f>
        <v>$110</v>
      </c>
      <c r="H8" s="5">
        <f t="shared" si="3"/>
        <v>15.714285714285714</v>
      </c>
      <c r="I8" s="7">
        <f t="shared" si="4"/>
        <v>10.714285714285714</v>
      </c>
      <c r="J8" s="6" t="s">
        <v>58</v>
      </c>
    </row>
    <row r="9" spans="1:10" ht="27.75" x14ac:dyDescent="0.4">
      <c r="A9" s="3" t="s">
        <v>19</v>
      </c>
      <c r="B9" s="3" t="s">
        <v>20</v>
      </c>
      <c r="C9" s="4" t="s">
        <v>21</v>
      </c>
      <c r="D9" s="3" t="s">
        <v>59</v>
      </c>
      <c r="E9" s="3" t="str">
        <f t="shared" si="0"/>
        <v>$70</v>
      </c>
      <c r="F9" s="5">
        <f t="shared" si="1"/>
        <v>10</v>
      </c>
      <c r="G9" s="6" t="str">
        <f>RIGHT(D9,4)</f>
        <v>$180</v>
      </c>
      <c r="H9" s="5">
        <f t="shared" si="3"/>
        <v>25.714285714285715</v>
      </c>
      <c r="I9" s="7">
        <f t="shared" si="4"/>
        <v>17.857142857142858</v>
      </c>
      <c r="J9" s="6" t="s">
        <v>60</v>
      </c>
    </row>
    <row r="10" spans="1:10" ht="27.75" x14ac:dyDescent="0.4">
      <c r="A10" s="3" t="s">
        <v>19</v>
      </c>
      <c r="B10" s="3" t="s">
        <v>22</v>
      </c>
      <c r="C10" s="4" t="s">
        <v>23</v>
      </c>
      <c r="D10" s="3" t="s">
        <v>59</v>
      </c>
      <c r="E10" s="3" t="str">
        <f t="shared" si="0"/>
        <v>$70</v>
      </c>
      <c r="F10" s="5">
        <f t="shared" si="1"/>
        <v>10</v>
      </c>
      <c r="G10" s="6" t="str">
        <f t="shared" si="5"/>
        <v>$180</v>
      </c>
      <c r="H10" s="5">
        <f t="shared" si="3"/>
        <v>25.714285714285715</v>
      </c>
      <c r="I10" s="7">
        <f t="shared" si="4"/>
        <v>17.857142857142858</v>
      </c>
      <c r="J10" s="6" t="s">
        <v>60</v>
      </c>
    </row>
    <row r="11" spans="1:10" ht="14.65" x14ac:dyDescent="0.4">
      <c r="A11" s="3" t="s">
        <v>24</v>
      </c>
      <c r="B11" s="3" t="s">
        <v>25</v>
      </c>
      <c r="C11" s="4" t="s">
        <v>26</v>
      </c>
      <c r="D11" s="3" t="s">
        <v>61</v>
      </c>
      <c r="E11" s="3" t="str">
        <f t="shared" si="0"/>
        <v>$25</v>
      </c>
      <c r="F11" s="5">
        <f t="shared" si="1"/>
        <v>3.5714285714285716</v>
      </c>
      <c r="G11" s="6" t="str">
        <f t="shared" si="2"/>
        <v>$50</v>
      </c>
      <c r="H11" s="5">
        <f t="shared" si="3"/>
        <v>7.1428571428571432</v>
      </c>
      <c r="I11" s="7">
        <f t="shared" si="4"/>
        <v>5.3571428571428577</v>
      </c>
      <c r="J11" s="6" t="s">
        <v>62</v>
      </c>
    </row>
    <row r="12" spans="1:10" ht="14.65" x14ac:dyDescent="0.4">
      <c r="A12" s="3" t="s">
        <v>24</v>
      </c>
      <c r="B12" s="3" t="s">
        <v>27</v>
      </c>
      <c r="C12" s="4" t="s">
        <v>28</v>
      </c>
      <c r="D12" s="3" t="s">
        <v>63</v>
      </c>
      <c r="E12" s="3" t="str">
        <f t="shared" si="0"/>
        <v>$30</v>
      </c>
      <c r="F12" s="5">
        <f t="shared" si="1"/>
        <v>4.2857142857142856</v>
      </c>
      <c r="G12" s="6" t="str">
        <f t="shared" si="2"/>
        <v>$60</v>
      </c>
      <c r="H12" s="5">
        <f t="shared" si="3"/>
        <v>8.5714285714285712</v>
      </c>
      <c r="I12" s="7">
        <f t="shared" si="4"/>
        <v>6.4285714285714288</v>
      </c>
      <c r="J12" s="6" t="s">
        <v>58</v>
      </c>
    </row>
    <row r="13" spans="1:10" ht="14.65" x14ac:dyDescent="0.4">
      <c r="A13" s="3" t="s">
        <v>24</v>
      </c>
      <c r="B13" s="3" t="s">
        <v>29</v>
      </c>
      <c r="C13" s="4" t="s">
        <v>30</v>
      </c>
      <c r="D13" s="3" t="s">
        <v>64</v>
      </c>
      <c r="E13" s="3" t="str">
        <f t="shared" si="0"/>
        <v>$35</v>
      </c>
      <c r="F13" s="5">
        <f t="shared" si="1"/>
        <v>5</v>
      </c>
      <c r="G13" s="6" t="str">
        <f t="shared" si="2"/>
        <v>$70</v>
      </c>
      <c r="H13" s="5">
        <f t="shared" si="3"/>
        <v>10</v>
      </c>
      <c r="I13" s="7">
        <f t="shared" si="4"/>
        <v>7.5</v>
      </c>
      <c r="J13" s="6" t="s">
        <v>56</v>
      </c>
    </row>
    <row r="14" spans="1:10" ht="14.65" x14ac:dyDescent="0.4">
      <c r="A14" s="3" t="s">
        <v>24</v>
      </c>
      <c r="B14" s="3" t="s">
        <v>31</v>
      </c>
      <c r="C14" s="4" t="s">
        <v>32</v>
      </c>
      <c r="D14" s="3" t="s">
        <v>65</v>
      </c>
      <c r="E14" s="3" t="str">
        <f t="shared" si="0"/>
        <v>$25</v>
      </c>
      <c r="F14" s="5">
        <f t="shared" si="1"/>
        <v>3.5714285714285716</v>
      </c>
      <c r="G14" s="6" t="str">
        <f t="shared" si="2"/>
        <v>$55</v>
      </c>
      <c r="H14" s="5">
        <f t="shared" si="3"/>
        <v>7.8571428571428568</v>
      </c>
      <c r="I14" s="7">
        <f t="shared" si="4"/>
        <v>5.7142857142857144</v>
      </c>
      <c r="J14" s="6" t="s">
        <v>62</v>
      </c>
    </row>
    <row r="15" spans="1:10" ht="14.65" x14ac:dyDescent="0.4">
      <c r="A15" s="3" t="s">
        <v>24</v>
      </c>
      <c r="B15" s="3" t="s">
        <v>33</v>
      </c>
      <c r="C15" s="4" t="s">
        <v>34</v>
      </c>
      <c r="D15" s="3" t="s">
        <v>66</v>
      </c>
      <c r="E15" s="3" t="str">
        <f t="shared" si="0"/>
        <v>$30</v>
      </c>
      <c r="F15" s="5">
        <f t="shared" si="1"/>
        <v>4.2857142857142856</v>
      </c>
      <c r="G15" s="6" t="str">
        <f t="shared" si="2"/>
        <v>$65</v>
      </c>
      <c r="H15" s="5">
        <f t="shared" si="3"/>
        <v>9.2857142857142865</v>
      </c>
      <c r="I15" s="7">
        <f t="shared" si="4"/>
        <v>6.7857142857142865</v>
      </c>
      <c r="J15" s="6" t="s">
        <v>67</v>
      </c>
    </row>
    <row r="16" spans="1:10" ht="14.65" x14ac:dyDescent="0.4">
      <c r="A16" s="3" t="s">
        <v>24</v>
      </c>
      <c r="B16" s="3" t="s">
        <v>35</v>
      </c>
      <c r="C16" s="4" t="s">
        <v>36</v>
      </c>
      <c r="D16" s="3" t="s">
        <v>65</v>
      </c>
      <c r="E16" s="3" t="str">
        <f t="shared" si="0"/>
        <v>$25</v>
      </c>
      <c r="F16" s="5">
        <f t="shared" si="1"/>
        <v>3.5714285714285716</v>
      </c>
      <c r="G16" s="6" t="str">
        <f t="shared" si="2"/>
        <v>$55</v>
      </c>
      <c r="H16" s="5">
        <f t="shared" si="3"/>
        <v>7.8571428571428568</v>
      </c>
      <c r="I16" s="7">
        <f t="shared" si="4"/>
        <v>5.7142857142857144</v>
      </c>
      <c r="J16" s="6" t="s">
        <v>58</v>
      </c>
    </row>
    <row r="17" spans="1:10" ht="14.65" x14ac:dyDescent="0.4">
      <c r="A17" s="3" t="s">
        <v>24</v>
      </c>
      <c r="B17" s="3" t="s">
        <v>37</v>
      </c>
      <c r="C17" s="4" t="s">
        <v>38</v>
      </c>
      <c r="D17" s="3" t="s">
        <v>63</v>
      </c>
      <c r="E17" s="3" t="str">
        <f t="shared" si="0"/>
        <v>$30</v>
      </c>
      <c r="F17" s="5">
        <f t="shared" si="1"/>
        <v>4.2857142857142856</v>
      </c>
      <c r="G17" s="6" t="str">
        <f t="shared" si="2"/>
        <v>$60</v>
      </c>
      <c r="H17" s="5">
        <f t="shared" si="3"/>
        <v>8.5714285714285712</v>
      </c>
      <c r="I17" s="7">
        <f t="shared" si="4"/>
        <v>6.4285714285714288</v>
      </c>
      <c r="J17" s="6" t="s">
        <v>67</v>
      </c>
    </row>
    <row r="18" spans="1:10" ht="27.75" x14ac:dyDescent="0.4">
      <c r="A18" s="3" t="s">
        <v>39</v>
      </c>
      <c r="B18" s="3" t="s">
        <v>40</v>
      </c>
      <c r="C18" s="4" t="s">
        <v>41</v>
      </c>
      <c r="D18" s="3" t="s">
        <v>68</v>
      </c>
      <c r="E18" s="3" t="str">
        <f t="shared" si="0"/>
        <v>$50</v>
      </c>
      <c r="F18" s="5">
        <f t="shared" si="1"/>
        <v>7.1428571428571432</v>
      </c>
      <c r="G18" s="6" t="str">
        <f>RIGHT(D18,4)</f>
        <v>$120</v>
      </c>
      <c r="H18" s="5">
        <f t="shared" si="3"/>
        <v>17.142857142857142</v>
      </c>
      <c r="I18" s="7">
        <f t="shared" si="4"/>
        <v>12.142857142857142</v>
      </c>
      <c r="J18" s="6" t="s">
        <v>56</v>
      </c>
    </row>
    <row r="19" spans="1:10" ht="27.75" x14ac:dyDescent="0.4">
      <c r="A19" s="3" t="s">
        <v>39</v>
      </c>
      <c r="B19" s="3" t="s">
        <v>42</v>
      </c>
      <c r="C19" s="4" t="s">
        <v>43</v>
      </c>
      <c r="D19" s="3" t="s">
        <v>69</v>
      </c>
      <c r="E19" s="3" t="str">
        <f t="shared" si="0"/>
        <v>$50</v>
      </c>
      <c r="F19" s="5">
        <f t="shared" si="1"/>
        <v>7.1428571428571432</v>
      </c>
      <c r="G19" s="6" t="str">
        <f t="shared" ref="G19:G20" si="6">RIGHT(D19,4)</f>
        <v>$140</v>
      </c>
      <c r="H19" s="5">
        <f t="shared" si="3"/>
        <v>20</v>
      </c>
      <c r="I19" s="7">
        <f t="shared" si="4"/>
        <v>13.571428571428571</v>
      </c>
      <c r="J19" s="6" t="s">
        <v>67</v>
      </c>
    </row>
    <row r="20" spans="1:10" ht="27.75" x14ac:dyDescent="0.4">
      <c r="A20" s="3" t="s">
        <v>39</v>
      </c>
      <c r="B20" s="3" t="s">
        <v>44</v>
      </c>
      <c r="C20" s="4" t="s">
        <v>45</v>
      </c>
      <c r="D20" s="3" t="s">
        <v>70</v>
      </c>
      <c r="E20" s="3" t="str">
        <f t="shared" si="0"/>
        <v>$45</v>
      </c>
      <c r="F20" s="5">
        <f t="shared" si="1"/>
        <v>6.4285714285714288</v>
      </c>
      <c r="G20" s="6" t="str">
        <f t="shared" si="6"/>
        <v>$100</v>
      </c>
      <c r="H20" s="5">
        <f t="shared" si="3"/>
        <v>14.285714285714286</v>
      </c>
      <c r="I20" s="7">
        <f t="shared" si="4"/>
        <v>10.357142857142858</v>
      </c>
      <c r="J20" s="6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华为</dc:creator>
  <cp:lastModifiedBy>lijuan zhang</cp:lastModifiedBy>
  <dcterms:created xsi:type="dcterms:W3CDTF">2015-06-05T18:19:34Z</dcterms:created>
  <dcterms:modified xsi:type="dcterms:W3CDTF">2025-11-07T08:46:58Z</dcterms:modified>
</cp:coreProperties>
</file>